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Projeto cabeça de Dados\projeto-dados-corinthians-2025\"/>
    </mc:Choice>
  </mc:AlternateContent>
  <xr:revisionPtr revIDLastSave="0" documentId="8_{B10D6DA3-93AE-445B-9E7C-8848E8D1E4A7}" xr6:coauthVersionLast="47" xr6:coauthVersionMax="47" xr10:uidLastSave="{00000000-0000-0000-0000-000000000000}"/>
  <bookViews>
    <workbookView xWindow="-120" yWindow="-120" windowWidth="29040" windowHeight="15720" activeTab="3" xr2:uid="{0A9F2F5F-1A2C-4FDA-A11A-7536D5D43A04}"/>
  </bookViews>
  <sheets>
    <sheet name="dados_corinthians_2025" sheetId="2" r:id="rId1"/>
    <sheet name="APROVEITAMENTO_ANO" sheetId="3" r:id="rId2"/>
    <sheet name="DESEMPENHO" sheetId="4" r:id="rId3"/>
    <sheet name="Dashboard" sheetId="5" r:id="rId4"/>
  </sheets>
  <definedNames>
    <definedName name="DadosExternos_1" localSheetId="0" hidden="1">dados_corinthians_2025!$A$1:$F$65</definedName>
    <definedName name="SegmentaçãodeDados_Campeonato">#N/A</definedName>
    <definedName name="SegmentaçãodeDados_Campeonato1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DB484-83D3-43B8-8BD0-8ECA01844055}" keepAlive="1" name="Consulta - dados_corinthians_2025" description="Conexão com a consulta 'dados_corinthians_2025' na pasta de trabalho." type="5" refreshedVersion="8" background="1" saveData="1">
    <dbPr connection="Provider=Microsoft.Mashup.OleDb.1;Data Source=$Workbook$;Location=dados_corinthians_2025;Extended Properties=&quot;&quot;" command="SELECT * FROM [dados_corinthians_2025]"/>
  </connection>
</connections>
</file>

<file path=xl/sharedStrings.xml><?xml version="1.0" encoding="utf-8"?>
<sst xmlns="http://schemas.openxmlformats.org/spreadsheetml/2006/main" count="216" uniqueCount="48">
  <si>
    <t>Data</t>
  </si>
  <si>
    <t>Adversario</t>
  </si>
  <si>
    <t>Mando</t>
  </si>
  <si>
    <t>Gols_Timao</t>
  </si>
  <si>
    <t>Gols_Adversario</t>
  </si>
  <si>
    <t>Campeonato</t>
  </si>
  <si>
    <t>Guarani</t>
  </si>
  <si>
    <t>Casa</t>
  </si>
  <si>
    <t>Campeonato Paulista</t>
  </si>
  <si>
    <t>Ituano</t>
  </si>
  <si>
    <t>Fora</t>
  </si>
  <si>
    <t>São Bernardo</t>
  </si>
  <si>
    <t>São Paulo</t>
  </si>
  <si>
    <t>Novorizontino</t>
  </si>
  <si>
    <t>Botafogo-SP</t>
  </si>
  <si>
    <t>Inter de Limeira</t>
  </si>
  <si>
    <t>Red Bull Bragantino</t>
  </si>
  <si>
    <t>Portuguesa</t>
  </si>
  <si>
    <t>Água Santa</t>
  </si>
  <si>
    <t>Ponte Preta</t>
  </si>
  <si>
    <t>Mirassol</t>
  </si>
  <si>
    <t>Santos</t>
  </si>
  <si>
    <t>Palmeiras</t>
  </si>
  <si>
    <t>Copa do Brasil</t>
  </si>
  <si>
    <t>Athletico-PR</t>
  </si>
  <si>
    <t>Cruzeiro</t>
  </si>
  <si>
    <t>Vasco</t>
  </si>
  <si>
    <t>Grêmio</t>
  </si>
  <si>
    <t>Campeonato Brasileiro</t>
  </si>
  <si>
    <t>Atlético-MG</t>
  </si>
  <si>
    <t>Flamengo</t>
  </si>
  <si>
    <t>Juventude</t>
  </si>
  <si>
    <t>Fortaleza</t>
  </si>
  <si>
    <t>Bahia</t>
  </si>
  <si>
    <t>Botafogo</t>
  </si>
  <si>
    <t>Fluminense</t>
  </si>
  <si>
    <t>Cuiabá</t>
  </si>
  <si>
    <t>Vitória</t>
  </si>
  <si>
    <t>Internacional</t>
  </si>
  <si>
    <t>Criciúma</t>
  </si>
  <si>
    <t>Resultado</t>
  </si>
  <si>
    <t>Rótulos de Linha</t>
  </si>
  <si>
    <t>Derrota</t>
  </si>
  <si>
    <t>Empate</t>
  </si>
  <si>
    <t>Total Geral</t>
  </si>
  <si>
    <t>Contagem de Resultado</t>
  </si>
  <si>
    <t>Rótulos de Coluna</t>
  </si>
  <si>
    <t>DASHBOARD TEMPORADA 2025 - CORINTHIANS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</si>
</sst>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[Dashboard_Corinthians.xlsx]APROVEITAMENTO_ANO!Tabela dinâmica1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desempenho</a:t>
            </a:r>
            <a:r>
              <a:rPr lang="en-US" baseline="0"/>
              <a:t> no 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APROVEITAMENTO_ANO!$B$3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9C-4003-8A30-D698C7D86DB1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9C-4003-8A30-D698C7D86DB1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9C-4003-8A30-D698C7D86D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APROVEITAMENTO_ANO!$A$4:$A$7</c:f>
              <c:strCache>
                <c:ptCount val="3"/>
                <c:pt idx="0">
                  <c:v>Derrota</c:v>
                </c:pt>
                <c:pt idx="1">
                  <c:v>Empate</c:v>
                </c:pt>
                <c:pt idx="2">
                  <c:v>Vitória</c:v>
                </c:pt>
              </c:strCache>
            </c:strRef>
          </c:cat>
          <c:val>
            <c:numRef>
              <c:f>APROVEITAMENTO_ANO!$B$4:$B$7</c:f>
              <c:numCache>
                <c:formatCode>General</c:formatCode>
                <c:ptCount val="3"/>
                <c:pt idx="0">
                  <c:v>6</c:v>
                </c:pt>
                <c:pt idx="1">
                  <c:v>17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9C-4003-8A30-D698C7D86DB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[Dashboard_Corinthians.xlsx]DESEMPENHO!Tabela dinâmica2</c:name>
    <c:fmtId val="9"/>
  </c:pivotSource>
  <c:chart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DESEMPENHO!$B$3:$B$4</c:f>
              <c:strCache>
                <c:ptCount val="1"/>
                <c:pt idx="0">
                  <c:v>Derrota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DESEMPENHO!$A$5:$A$7</c:f>
              <c:strCache>
                <c:ptCount val="2"/>
                <c:pt idx="0">
                  <c:v>Casa</c:v>
                </c:pt>
                <c:pt idx="1">
                  <c:v>Fora</c:v>
                </c:pt>
              </c:strCache>
            </c:strRef>
          </c:cat>
          <c:val>
            <c:numRef>
              <c:f>DESEMPENHO!$B$5:$B$7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6-493A-80F1-870360357B7B}"/>
            </c:ext>
          </c:extLst>
        </c:ser>
        <c:ser>
          <c:idx val="1"/>
          <c:order val="1"/>
          <c:tx>
            <c:strRef>
              <c:f>DESEMPENHO!$C$3:$C$4</c:f>
              <c:strCache>
                <c:ptCount val="1"/>
                <c:pt idx="0">
                  <c:v>Empate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DESEMPENHO!$A$5:$A$7</c:f>
              <c:strCache>
                <c:ptCount val="2"/>
                <c:pt idx="0">
                  <c:v>Casa</c:v>
                </c:pt>
                <c:pt idx="1">
                  <c:v>Fora</c:v>
                </c:pt>
              </c:strCache>
            </c:strRef>
          </c:cat>
          <c:val>
            <c:numRef>
              <c:f>DESEMPENHO!$C$5:$C$7</c:f>
              <c:numCache>
                <c:formatCode>General</c:formatCode>
                <c:ptCount val="2"/>
                <c:pt idx="0">
                  <c:v>6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6-493A-80F1-870360357B7B}"/>
            </c:ext>
          </c:extLst>
        </c:ser>
        <c:ser>
          <c:idx val="2"/>
          <c:order val="2"/>
          <c:tx>
            <c:strRef>
              <c:f>DESEMPENHO!$D$3:$D$4</c:f>
              <c:strCache>
                <c:ptCount val="1"/>
                <c:pt idx="0">
                  <c:v>Vitória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DESEMPENHO!$A$5:$A$7</c:f>
              <c:strCache>
                <c:ptCount val="2"/>
                <c:pt idx="0">
                  <c:v>Casa</c:v>
                </c:pt>
                <c:pt idx="1">
                  <c:v>Fora</c:v>
                </c:pt>
              </c:strCache>
            </c:strRef>
          </c:cat>
          <c:val>
            <c:numRef>
              <c:f>DESEMPENHO!$D$5:$D$7</c:f>
              <c:numCache>
                <c:formatCode>General</c:formatCode>
                <c:ptCount val="2"/>
                <c:pt idx="0">
                  <c:v>26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6-493A-80F1-87036035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3785696"/>
        <c:axId val="1033797216"/>
      </c:barChart>
      <c:catAx>
        <c:axId val="10337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3797216"/>
        <c:crosses val="autoZero"/>
        <c:auto val="1"/>
        <c:lblAlgn val="ctr"/>
        <c:lblOffset val="100"/>
        <c:noMultiLvlLbl val="0"/>
      </c:catAx>
      <c:valAx>
        <c:axId val="10337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378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[Dashboard_Corinthians.xlsx]APROVEITAMENTO_ANO!Tabela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desempenho</a:t>
            </a:r>
            <a:r>
              <a:rPr lang="en-US" baseline="0"/>
              <a:t> no 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APROVEITAMENTO_ANO!$B$3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5D-49DD-A79A-417F5D63BB0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5D-49DD-A79A-417F5D63BB06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5D-49DD-A79A-417F5D63BB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APROVEITAMENTO_ANO!$A$4:$A$7</c:f>
              <c:strCache>
                <c:ptCount val="3"/>
                <c:pt idx="0">
                  <c:v>Derrota</c:v>
                </c:pt>
                <c:pt idx="1">
                  <c:v>Empate</c:v>
                </c:pt>
                <c:pt idx="2">
                  <c:v>Vitória</c:v>
                </c:pt>
              </c:strCache>
            </c:strRef>
          </c:cat>
          <c:val>
            <c:numRef>
              <c:f>APROVEITAMENTO_ANO!$B$4:$B$7</c:f>
              <c:numCache>
                <c:formatCode>General</c:formatCode>
                <c:ptCount val="3"/>
                <c:pt idx="0">
                  <c:v>6</c:v>
                </c:pt>
                <c:pt idx="1">
                  <c:v>17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5D-49DD-A79A-417F5D63BB0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[Dashboard_Corinthians.xlsx]DESEMPENHO!Tabela dinâmica2</c:name>
    <c:fmtId val="10"/>
  </c:pivotSource>
  <c:chart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DESEMPENHO!$B$3:$B$4</c:f>
              <c:strCache>
                <c:ptCount val="1"/>
                <c:pt idx="0">
                  <c:v>Derrota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DESEMPENHO!$A$5:$A$7</c:f>
              <c:strCache>
                <c:ptCount val="2"/>
                <c:pt idx="0">
                  <c:v>Casa</c:v>
                </c:pt>
                <c:pt idx="1">
                  <c:v>Fora</c:v>
                </c:pt>
              </c:strCache>
            </c:strRef>
          </c:cat>
          <c:val>
            <c:numRef>
              <c:f>DESEMPENHO!$B$5:$B$7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B-4CE1-ADCA-FA47BA517966}"/>
            </c:ext>
          </c:extLst>
        </c:ser>
        <c:ser>
          <c:idx val="1"/>
          <c:order val="1"/>
          <c:tx>
            <c:strRef>
              <c:f>DESEMPENHO!$C$3:$C$4</c:f>
              <c:strCache>
                <c:ptCount val="1"/>
                <c:pt idx="0">
                  <c:v>Empate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DESEMPENHO!$A$5:$A$7</c:f>
              <c:strCache>
                <c:ptCount val="2"/>
                <c:pt idx="0">
                  <c:v>Casa</c:v>
                </c:pt>
                <c:pt idx="1">
                  <c:v>Fora</c:v>
                </c:pt>
              </c:strCache>
            </c:strRef>
          </c:cat>
          <c:val>
            <c:numRef>
              <c:f>DESEMPENHO!$C$5:$C$7</c:f>
              <c:numCache>
                <c:formatCode>General</c:formatCode>
                <c:ptCount val="2"/>
                <c:pt idx="0">
                  <c:v>6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B-4CE1-ADCA-FA47BA517966}"/>
            </c:ext>
          </c:extLst>
        </c:ser>
        <c:ser>
          <c:idx val="2"/>
          <c:order val="2"/>
          <c:tx>
            <c:strRef>
              <c:f>DESEMPENHO!$D$3:$D$4</c:f>
              <c:strCache>
                <c:ptCount val="1"/>
                <c:pt idx="0">
                  <c:v>Vitória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DESEMPENHO!$A$5:$A$7</c:f>
              <c:strCache>
                <c:ptCount val="2"/>
                <c:pt idx="0">
                  <c:v>Casa</c:v>
                </c:pt>
                <c:pt idx="1">
                  <c:v>Fora</c:v>
                </c:pt>
              </c:strCache>
            </c:strRef>
          </c:cat>
          <c:val>
            <c:numRef>
              <c:f>DESEMPENHO!$D$5:$D$7</c:f>
              <c:numCache>
                <c:formatCode>General</c:formatCode>
                <c:ptCount val="2"/>
                <c:pt idx="0">
                  <c:v>26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B-4CE1-ADCA-FA47BA51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3785696"/>
        <c:axId val="1033797216"/>
      </c:barChart>
      <c:catAx>
        <c:axId val="10337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3797216"/>
        <c:crosses val="autoZero"/>
        <c:auto val="1"/>
        <c:lblAlgn val="ctr"/>
        <c:lblOffset val="100"/>
        <c:noMultiLvlLbl val="0"/>
      </c:catAx>
      <c:valAx>
        <c:axId val="10337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378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314325</xdr:colOff>
      <xdr:row>0</xdr:row>
      <xdr:rowOff>0</xdr:rowOff>
    </xdr:from>
    <xdr:to>
      <xdr:col>12</xdr:col>
      <xdr:colOff>390525</xdr:colOff>
      <xdr:row>14</xdr:row>
      <xdr:rowOff>85724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mpeonato">
              <a:extLst>
                <a:ext uri="{FF2B5EF4-FFF2-40B4-BE49-F238E27FC236}">
                  <a16:creationId xmlns:a16="http://schemas.microsoft.com/office/drawing/2014/main" id="{0B97220B-A72F-5AF9-C3BF-7187AE62C9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eona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0"/>
              <a:ext cx="1905000" cy="2752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C9376B-FD4D-4D46-ABB1-309D7D0D7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0BF907-3E1B-497D-B6AC-3FFA527E2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3</xdr:row>
      <xdr:rowOff>142875</xdr:rowOff>
    </xdr:from>
    <xdr:to>
      <xdr:col>8</xdr:col>
      <xdr:colOff>171450</xdr:colOff>
      <xdr:row>18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868958-8A85-4615-9ECB-89F100B91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66674</xdr:colOff>
      <xdr:row>3</xdr:row>
      <xdr:rowOff>76200</xdr:rowOff>
    </xdr:from>
    <xdr:to>
      <xdr:col>19</xdr:col>
      <xdr:colOff>514349</xdr:colOff>
      <xdr:row>17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F50A77-3DD3-4FB8-89DC-A03293A27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266700</xdr:colOff>
      <xdr:row>4</xdr:row>
      <xdr:rowOff>0</xdr:rowOff>
    </xdr:from>
    <xdr:to>
      <xdr:col>11</xdr:col>
      <xdr:colOff>266700</xdr:colOff>
      <xdr:row>18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mpeonato 1">
              <a:extLst>
                <a:ext uri="{FF2B5EF4-FFF2-40B4-BE49-F238E27FC236}">
                  <a16:creationId xmlns:a16="http://schemas.microsoft.com/office/drawing/2014/main" id="{C2F28EF5-85A6-83D4-EDDA-4E8C729DD4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eona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7620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600075</xdr:colOff>
      <xdr:row>3</xdr:row>
      <xdr:rowOff>133350</xdr:rowOff>
    </xdr:from>
    <xdr:to>
      <xdr:col>22</xdr:col>
      <xdr:colOff>600075</xdr:colOff>
      <xdr:row>17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mpeonato 2">
              <a:extLst>
                <a:ext uri="{FF2B5EF4-FFF2-40B4-BE49-F238E27FC236}">
                  <a16:creationId xmlns:a16="http://schemas.microsoft.com/office/drawing/2014/main" id="{EA3EA48D-275C-6BA1-726F-F22AEA5222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eonat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82475" y="7048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chau" refreshedDate="46106.535206134256" createdVersion="8" refreshedVersion="8" minRefreshableVersion="3" recordCount="64" xr:uid="{8AD15742-0F0E-4D5F-AD0E-EBEAC1D67C61}">
  <cacheSource type="worksheet">
    <worksheetSource name="dados_corinthians_2025"/>
  </cacheSource>
  <cacheFields count="7">
    <cacheField name="Data" numFmtId="14">
      <sharedItems containsSemiMixedTypes="0" containsNonDate="0" containsDate="1" containsString="0" minDate="2025-01-15T00:00:00" maxDate="2025-12-22T00:00:00"/>
    </cacheField>
    <cacheField name="Adversario" numFmtId="0">
      <sharedItems/>
    </cacheField>
    <cacheField name="Mando" numFmtId="0">
      <sharedItems count="2">
        <s v="Casa"/>
        <s v="Fora"/>
      </sharedItems>
    </cacheField>
    <cacheField name="Gols_Timao" numFmtId="0">
      <sharedItems containsSemiMixedTypes="0" containsString="0" containsNumber="1" containsInteger="1" minValue="0" maxValue="4"/>
    </cacheField>
    <cacheField name="Gols_Adversario" numFmtId="0">
      <sharedItems containsSemiMixedTypes="0" containsString="0" containsNumber="1" containsInteger="1" minValue="0" maxValue="2"/>
    </cacheField>
    <cacheField name="Campeonato" numFmtId="0">
      <sharedItems count="3">
        <s v="Campeonato Paulista"/>
        <s v="Copa do Brasil"/>
        <s v="Campeonato Brasileiro"/>
      </sharedItems>
    </cacheField>
    <cacheField name="Resultado" numFmtId="0">
      <sharedItems count="3">
        <s v="Vitória"/>
        <s v="Empate"/>
        <s v="Derrota"/>
      </sharedItems>
    </cacheField>
  </cacheFields>
  <extLst>
    <ext xmlns:x14="http://schemas.microsoft.com/office/spreadsheetml/2009/9/main" uri="{725AE2AE-9491-48be-B2B4-4EB974FC3084}">
      <x14:pivotCacheDefinition pivotCacheId="668805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5-01-15T00:00:00"/>
    <s v="Guarani"/>
    <x v="0"/>
    <n v="1"/>
    <n v="0"/>
    <x v="0"/>
    <x v="0"/>
  </r>
  <r>
    <d v="2025-01-19T00:00:00"/>
    <s v="Ituano"/>
    <x v="1"/>
    <n v="1"/>
    <n v="1"/>
    <x v="0"/>
    <x v="1"/>
  </r>
  <r>
    <d v="2025-01-22T00:00:00"/>
    <s v="São Bernardo"/>
    <x v="0"/>
    <n v="2"/>
    <n v="0"/>
    <x v="0"/>
    <x v="0"/>
  </r>
  <r>
    <d v="2025-01-26T00:00:00"/>
    <s v="São Paulo"/>
    <x v="1"/>
    <n v="1"/>
    <n v="2"/>
    <x v="0"/>
    <x v="2"/>
  </r>
  <r>
    <d v="2025-01-29T00:00:00"/>
    <s v="Novorizontino"/>
    <x v="0"/>
    <n v="3"/>
    <n v="1"/>
    <x v="0"/>
    <x v="0"/>
  </r>
  <r>
    <d v="2025-02-02T00:00:00"/>
    <s v="Botafogo-SP"/>
    <x v="1"/>
    <n v="0"/>
    <n v="0"/>
    <x v="0"/>
    <x v="1"/>
  </r>
  <r>
    <d v="2025-02-05T00:00:00"/>
    <s v="Inter de Limeira"/>
    <x v="0"/>
    <n v="2"/>
    <n v="0"/>
    <x v="0"/>
    <x v="0"/>
  </r>
  <r>
    <d v="2025-02-09T00:00:00"/>
    <s v="Red Bull Bragantino"/>
    <x v="1"/>
    <n v="1"/>
    <n v="1"/>
    <x v="0"/>
    <x v="1"/>
  </r>
  <r>
    <d v="2025-02-15T00:00:00"/>
    <s v="Portuguesa"/>
    <x v="1"/>
    <n v="2"/>
    <n v="2"/>
    <x v="0"/>
    <x v="1"/>
  </r>
  <r>
    <d v="2025-02-19T00:00:00"/>
    <s v="Água Santa"/>
    <x v="0"/>
    <n v="1"/>
    <n v="0"/>
    <x v="0"/>
    <x v="0"/>
  </r>
  <r>
    <d v="2025-02-23T00:00:00"/>
    <s v="Guarani"/>
    <x v="0"/>
    <n v="2"/>
    <n v="2"/>
    <x v="0"/>
    <x v="1"/>
  </r>
  <r>
    <d v="2025-02-26T00:00:00"/>
    <s v="Ponte Preta"/>
    <x v="1"/>
    <n v="1"/>
    <n v="0"/>
    <x v="0"/>
    <x v="0"/>
  </r>
  <r>
    <d v="2025-03-02T00:00:00"/>
    <s v="Mirassol"/>
    <x v="0"/>
    <n v="2"/>
    <n v="0"/>
    <x v="0"/>
    <x v="0"/>
  </r>
  <r>
    <d v="2025-03-09T00:00:00"/>
    <s v="Santos"/>
    <x v="0"/>
    <n v="2"/>
    <n v="1"/>
    <x v="0"/>
    <x v="0"/>
  </r>
  <r>
    <d v="2025-03-16T00:00:00"/>
    <s v="Palmeiras"/>
    <x v="1"/>
    <n v="1"/>
    <n v="0"/>
    <x v="0"/>
    <x v="0"/>
  </r>
  <r>
    <d v="2025-03-27T00:00:00"/>
    <s v="Palmeiras"/>
    <x v="0"/>
    <n v="0"/>
    <n v="0"/>
    <x v="0"/>
    <x v="1"/>
  </r>
  <r>
    <d v="2025-04-30T00:00:00"/>
    <s v="Novorizontino"/>
    <x v="1"/>
    <n v="1"/>
    <n v="0"/>
    <x v="1"/>
    <x v="0"/>
  </r>
  <r>
    <d v="2025-05-21T00:00:00"/>
    <s v="Novorizontino"/>
    <x v="0"/>
    <n v="1"/>
    <n v="0"/>
    <x v="1"/>
    <x v="0"/>
  </r>
  <r>
    <d v="2025-07-30T00:00:00"/>
    <s v="Palmeiras"/>
    <x v="0"/>
    <n v="1"/>
    <n v="0"/>
    <x v="1"/>
    <x v="0"/>
  </r>
  <r>
    <d v="2025-08-06T00:00:00"/>
    <s v="Palmeiras"/>
    <x v="1"/>
    <n v="2"/>
    <n v="0"/>
    <x v="1"/>
    <x v="0"/>
  </r>
  <r>
    <d v="2025-08-27T00:00:00"/>
    <s v="Athletico-PR"/>
    <x v="1"/>
    <n v="1"/>
    <n v="0"/>
    <x v="1"/>
    <x v="0"/>
  </r>
  <r>
    <d v="2025-09-10T00:00:00"/>
    <s v="Athletico-PR"/>
    <x v="0"/>
    <n v="2"/>
    <n v="0"/>
    <x v="1"/>
    <x v="0"/>
  </r>
  <r>
    <d v="2025-12-10T00:00:00"/>
    <s v="Cruzeiro"/>
    <x v="1"/>
    <n v="1"/>
    <n v="0"/>
    <x v="1"/>
    <x v="0"/>
  </r>
  <r>
    <d v="2025-12-14T00:00:00"/>
    <s v="Cruzeiro"/>
    <x v="0"/>
    <n v="1"/>
    <n v="2"/>
    <x v="1"/>
    <x v="2"/>
  </r>
  <r>
    <d v="2025-12-17T00:00:00"/>
    <s v="Vasco"/>
    <x v="0"/>
    <n v="0"/>
    <n v="0"/>
    <x v="1"/>
    <x v="1"/>
  </r>
  <r>
    <d v="2025-12-21T00:00:00"/>
    <s v="Vasco"/>
    <x v="1"/>
    <n v="2"/>
    <n v="1"/>
    <x v="1"/>
    <x v="0"/>
  </r>
  <r>
    <d v="2025-04-13T00:00:00"/>
    <s v="Grêmio"/>
    <x v="0"/>
    <n v="2"/>
    <n v="1"/>
    <x v="2"/>
    <x v="0"/>
  </r>
  <r>
    <d v="2025-04-16T00:00:00"/>
    <s v="Atlético-MG"/>
    <x v="1"/>
    <n v="1"/>
    <n v="1"/>
    <x v="2"/>
    <x v="1"/>
  </r>
  <r>
    <d v="2025-04-20T00:00:00"/>
    <s v="Flamengo"/>
    <x v="0"/>
    <n v="1"/>
    <n v="0"/>
    <x v="2"/>
    <x v="0"/>
  </r>
  <r>
    <d v="2025-04-27T00:00:00"/>
    <s v="Juventude"/>
    <x v="1"/>
    <n v="2"/>
    <n v="0"/>
    <x v="2"/>
    <x v="0"/>
  </r>
  <r>
    <d v="2025-05-04T00:00:00"/>
    <s v="Fortaleza"/>
    <x v="0"/>
    <n v="0"/>
    <n v="0"/>
    <x v="2"/>
    <x v="1"/>
  </r>
  <r>
    <d v="2025-05-11T00:00:00"/>
    <s v="Cruzeiro"/>
    <x v="1"/>
    <n v="1"/>
    <n v="2"/>
    <x v="2"/>
    <x v="2"/>
  </r>
  <r>
    <d v="2025-05-18T00:00:00"/>
    <s v="São Paulo"/>
    <x v="0"/>
    <n v="1"/>
    <n v="1"/>
    <x v="2"/>
    <x v="1"/>
  </r>
  <r>
    <d v="2025-05-25T00:00:00"/>
    <s v="Bahia"/>
    <x v="1"/>
    <n v="2"/>
    <n v="1"/>
    <x v="2"/>
    <x v="0"/>
  </r>
  <r>
    <d v="2025-06-01T00:00:00"/>
    <s v="Botafogo"/>
    <x v="0"/>
    <n v="3"/>
    <n v="1"/>
    <x v="2"/>
    <x v="0"/>
  </r>
  <r>
    <d v="2025-06-08T00:00:00"/>
    <s v="Vasco"/>
    <x v="1"/>
    <n v="0"/>
    <n v="0"/>
    <x v="2"/>
    <x v="1"/>
  </r>
  <r>
    <d v="2025-06-12T00:00:00"/>
    <s v="Fluminense"/>
    <x v="0"/>
    <n v="2"/>
    <n v="0"/>
    <x v="2"/>
    <x v="0"/>
  </r>
  <r>
    <d v="2025-06-15T00:00:00"/>
    <s v="Palmeiras"/>
    <x v="1"/>
    <n v="1"/>
    <n v="1"/>
    <x v="2"/>
    <x v="1"/>
  </r>
  <r>
    <d v="2025-06-22T00:00:00"/>
    <s v="Athletico-PR"/>
    <x v="0"/>
    <n v="1"/>
    <n v="0"/>
    <x v="2"/>
    <x v="0"/>
  </r>
  <r>
    <d v="2025-06-25T00:00:00"/>
    <s v="Cuiabá"/>
    <x v="1"/>
    <n v="2"/>
    <n v="0"/>
    <x v="2"/>
    <x v="0"/>
  </r>
  <r>
    <d v="2025-06-29T00:00:00"/>
    <s v="Vitória"/>
    <x v="0"/>
    <n v="2"/>
    <n v="1"/>
    <x v="2"/>
    <x v="0"/>
  </r>
  <r>
    <d v="2025-07-06T00:00:00"/>
    <s v="Internacional"/>
    <x v="1"/>
    <n v="1"/>
    <n v="2"/>
    <x v="2"/>
    <x v="2"/>
  </r>
  <r>
    <d v="2025-07-13T00:00:00"/>
    <s v="Red Bull Bragantino"/>
    <x v="0"/>
    <n v="1"/>
    <n v="0"/>
    <x v="2"/>
    <x v="0"/>
  </r>
  <r>
    <d v="2025-07-20T00:00:00"/>
    <s v="Criciúma"/>
    <x v="1"/>
    <n v="2"/>
    <n v="0"/>
    <x v="2"/>
    <x v="0"/>
  </r>
  <r>
    <d v="2025-07-27T00:00:00"/>
    <s v="Santos"/>
    <x v="0"/>
    <n v="3"/>
    <n v="0"/>
    <x v="2"/>
    <x v="0"/>
  </r>
  <r>
    <d v="2025-08-03T00:00:00"/>
    <s v="Grêmio"/>
    <x v="1"/>
    <n v="1"/>
    <n v="1"/>
    <x v="2"/>
    <x v="1"/>
  </r>
  <r>
    <d v="2025-08-10T00:00:00"/>
    <s v="Atlético-MG"/>
    <x v="0"/>
    <n v="2"/>
    <n v="0"/>
    <x v="2"/>
    <x v="0"/>
  </r>
  <r>
    <d v="2025-08-17T00:00:00"/>
    <s v="Flamengo"/>
    <x v="1"/>
    <n v="1"/>
    <n v="2"/>
    <x v="2"/>
    <x v="2"/>
  </r>
  <r>
    <d v="2025-08-24T00:00:00"/>
    <s v="Juventude"/>
    <x v="0"/>
    <n v="3"/>
    <n v="0"/>
    <x v="2"/>
    <x v="0"/>
  </r>
  <r>
    <d v="2025-08-31T00:00:00"/>
    <s v="Fortaleza"/>
    <x v="1"/>
    <n v="0"/>
    <n v="1"/>
    <x v="2"/>
    <x v="2"/>
  </r>
  <r>
    <d v="2025-09-14T00:00:00"/>
    <s v="Cruzeiro"/>
    <x v="0"/>
    <n v="2"/>
    <n v="1"/>
    <x v="2"/>
    <x v="0"/>
  </r>
  <r>
    <d v="2025-09-21T00:00:00"/>
    <s v="São Paulo"/>
    <x v="1"/>
    <n v="1"/>
    <n v="0"/>
    <x v="2"/>
    <x v="0"/>
  </r>
  <r>
    <d v="2025-09-28T00:00:00"/>
    <s v="Bahia"/>
    <x v="0"/>
    <n v="1"/>
    <n v="1"/>
    <x v="2"/>
    <x v="1"/>
  </r>
  <r>
    <d v="2025-10-05T00:00:00"/>
    <s v="Botafogo"/>
    <x v="1"/>
    <n v="2"/>
    <n v="2"/>
    <x v="2"/>
    <x v="1"/>
  </r>
  <r>
    <d v="2025-10-12T00:00:00"/>
    <s v="Vasco"/>
    <x v="0"/>
    <n v="2"/>
    <n v="0"/>
    <x v="2"/>
    <x v="0"/>
  </r>
  <r>
    <d v="2025-10-19T00:00:00"/>
    <s v="Fluminense"/>
    <x v="1"/>
    <n v="1"/>
    <n v="1"/>
    <x v="2"/>
    <x v="1"/>
  </r>
  <r>
    <d v="2025-10-26T00:00:00"/>
    <s v="Palmeiras"/>
    <x v="0"/>
    <n v="1"/>
    <n v="0"/>
    <x v="2"/>
    <x v="0"/>
  </r>
  <r>
    <d v="2025-11-02T00:00:00"/>
    <s v="Athletico-PR"/>
    <x v="1"/>
    <n v="2"/>
    <n v="1"/>
    <x v="2"/>
    <x v="0"/>
  </r>
  <r>
    <d v="2025-11-09T00:00:00"/>
    <s v="Cuiabá"/>
    <x v="0"/>
    <n v="3"/>
    <n v="1"/>
    <x v="2"/>
    <x v="0"/>
  </r>
  <r>
    <d v="2025-11-12T00:00:00"/>
    <s v="Vitória"/>
    <x v="1"/>
    <n v="1"/>
    <n v="0"/>
    <x v="2"/>
    <x v="0"/>
  </r>
  <r>
    <d v="2025-11-23T00:00:00"/>
    <s v="Internacional"/>
    <x v="0"/>
    <n v="2"/>
    <n v="0"/>
    <x v="2"/>
    <x v="0"/>
  </r>
  <r>
    <d v="2025-11-30T00:00:00"/>
    <s v="Red Bull Bragantino"/>
    <x v="1"/>
    <n v="1"/>
    <n v="1"/>
    <x v="2"/>
    <x v="1"/>
  </r>
  <r>
    <d v="2025-12-03T00:00:00"/>
    <s v="Criciúma"/>
    <x v="0"/>
    <n v="4"/>
    <n v="0"/>
    <x v="2"/>
    <x v="0"/>
  </r>
  <r>
    <d v="2025-12-07T00:00:00"/>
    <s v="Santos"/>
    <x v="1"/>
    <n v="2"/>
    <n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1EB8C-DA94-4782-A529-36F650AC1143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7">
    <pivotField numFmtId="14"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dataField="1" showAll="0">
      <items count="4">
        <item x="2"/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Resultado" fld="6" subtotal="count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438FD-F9F1-4761-8F08-F7546ACEDC84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E7" firstHeaderRow="1" firstDataRow="2" firstDataCol="1"/>
  <pivotFields count="7"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dataField="1" showAll="0">
      <items count="4">
        <item x="2"/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ntagem de Resultado" fld="6" subtotal="count" baseField="0" baseItem="0"/>
  </dataFields>
  <chartFormats count="1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22640C-2555-4A0E-ACFE-D001F3CB02C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a" tableColumnId="1"/>
      <queryTableField id="2" name="Adversario" tableColumnId="2"/>
      <queryTableField id="3" name="Mando" tableColumnId="3"/>
      <queryTableField id="4" name="Gols_Timao" tableColumnId="4"/>
      <queryTableField id="5" name="Gols_Adversario" tableColumnId="5"/>
      <queryTableField id="6" name="Campeonato" tableColumnId="6"/>
      <queryTableField id="7" dataBound="0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mpeonato" xr10:uid="{1590E2C2-5D06-4162-B363-EBB6E7860D0B}" sourceName="Campeonato">
  <pivotTables>
    <pivotTable tabId="3" name="Tabela dinâmica1"/>
  </pivotTables>
  <data>
    <tabular pivotCacheId="66880502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mpeonato1" xr10:uid="{0436D6DF-871A-48A9-AC4D-536326936ACC}" sourceName="Campeonato">
  <pivotTables>
    <pivotTable tabId="4" name="Tabela dinâmica2"/>
  </pivotTables>
  <data>
    <tabular pivotCacheId="66880502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eonato" xr10:uid="{978ED9CD-A73D-4045-ACB0-A854416F9B4E}" cache="SegmentaçãodeDados_Campeonato" caption="Campeonat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eonato 1" xr10:uid="{40938254-6F75-4066-AF7C-81D78CE9E93E}" cache="SegmentaçãodeDados_Campeonato" caption="Campeonato" rowHeight="257175"/>
  <slicer name="Campeonato 2" xr10:uid="{3C7D9353-5AA2-45FF-A65C-AA66B27EC105}" cache="SegmentaçãodeDados_Campeonato1" caption="Campeonato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39772-C6C3-4CB6-962A-829D012FEB0D}" name="dados_corinthians_2025" displayName="dados_corinthians_2025" ref="A1:G65" tableType="queryTable" totalsRowShown="0">
  <autoFilter ref="A1:G65" xr:uid="{47A39772-C6C3-4CB6-962A-829D012FEB0D}"/>
  <tableColumns count="7">
    <tableColumn id="1" xr3:uid="{525AFDD7-4F1D-4DFE-8B45-7C9B784CFB62}" uniqueName="1" name="Data" queryTableFieldId="1" dataDxfId="4"/>
    <tableColumn id="2" xr3:uid="{68AB864A-B45A-4470-AD33-0B39BE870F0E}" uniqueName="2" name="Adversario" queryTableFieldId="2" dataDxfId="3"/>
    <tableColumn id="3" xr3:uid="{FD688890-3344-4B8C-9F8B-0F383D986EF5}" uniqueName="3" name="Mando" queryTableFieldId="3" dataDxfId="2"/>
    <tableColumn id="4" xr3:uid="{8D7DA663-973D-4CD0-A8B1-EA26A2170B28}" uniqueName="4" name="Gols_Timao" queryTableFieldId="4"/>
    <tableColumn id="5" xr3:uid="{9DBEC59C-DE56-4614-8A82-FE27E8233905}" uniqueName="5" name="Gols_Adversario" queryTableFieldId="5"/>
    <tableColumn id="6" xr3:uid="{950719FC-94AD-4922-A9F0-091CB3BE25EA}" uniqueName="6" name="Campeonato" queryTableFieldId="6" dataDxfId="1"/>
    <tableColumn id="7" xr3:uid="{E6C75C73-33A4-40C5-86ED-EC6112BB42A2}" uniqueName="7" name="Resultado" queryTableFieldId="7" dataDxfId="0">
      <calculatedColumnFormula>IF(D2&gt;E2, "Vitória", IF(D2&lt;E2, "Derrota", "Empate"))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F6FF-E014-46C4-B29A-F6B058933F91}">
  <dimension ref="A1:G65"/>
  <sheetViews>
    <sheetView topLeftCell="A2" workbookViewId="0">
      <selection activeCell="D3" sqref="D3"/>
    </sheetView>
  </sheetViews>
  <sheetFormatPr defaultRowHeight="15" x14ac:dyDescent="0.25"/>
  <cols>
    <col min="1" max="1" width="10.42578125" bestFit="1" customWidth="1"/>
    <col min="2" max="2" width="18.5703125" bestFit="1" customWidth="1"/>
    <col min="3" max="3" width="9.28515625" bestFit="1" customWidth="1"/>
    <col min="4" max="4" width="13.7109375" bestFit="1" customWidth="1"/>
    <col min="5" max="5" width="18" bestFit="1" customWidth="1"/>
    <col min="6" max="6" width="21.7109375" bestFit="1" customWidth="1"/>
    <col min="7" max="7" width="1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</row>
    <row r="2" spans="1:7" x14ac:dyDescent="0.25">
      <c r="A2" s="1">
        <v>45672</v>
      </c>
      <c r="B2" s="2" t="s">
        <v>6</v>
      </c>
      <c r="C2" s="2" t="s">
        <v>7</v>
      </c>
      <c r="D2">
        <v>1</v>
      </c>
      <c r="E2">
        <v>0</v>
      </c>
      <c r="F2" s="2" t="s">
        <v>8</v>
      </c>
      <c r="G2" s="2" t="str">
        <f t="shared" ref="G2:G33" si="0">IF(D2&gt;E2, "Vitória", IF(D2&lt;E2, "Derrota", "Empate"))</f>
        <v>Vitória</v>
      </c>
    </row>
    <row r="3" spans="1:7" x14ac:dyDescent="0.25">
      <c r="A3" s="1">
        <v>45676</v>
      </c>
      <c r="B3" s="2" t="s">
        <v>9</v>
      </c>
      <c r="C3" s="2" t="s">
        <v>10</v>
      </c>
      <c r="D3">
        <v>1</v>
      </c>
      <c r="E3">
        <v>1</v>
      </c>
      <c r="F3" s="2" t="s">
        <v>8</v>
      </c>
      <c r="G3" s="2" t="str">
        <f t="shared" si="0"/>
        <v>Empate</v>
      </c>
    </row>
    <row r="4" spans="1:7" x14ac:dyDescent="0.25">
      <c r="A4" s="1">
        <v>45679</v>
      </c>
      <c r="B4" s="2" t="s">
        <v>11</v>
      </c>
      <c r="C4" s="2" t="s">
        <v>7</v>
      </c>
      <c r="D4">
        <v>2</v>
      </c>
      <c r="E4">
        <v>0</v>
      </c>
      <c r="F4" s="2" t="s">
        <v>8</v>
      </c>
      <c r="G4" s="2" t="str">
        <f t="shared" si="0"/>
        <v>Vitória</v>
      </c>
    </row>
    <row r="5" spans="1:7" x14ac:dyDescent="0.25">
      <c r="A5" s="1">
        <v>45683</v>
      </c>
      <c r="B5" s="2" t="s">
        <v>12</v>
      </c>
      <c r="C5" s="2" t="s">
        <v>10</v>
      </c>
      <c r="D5">
        <v>1</v>
      </c>
      <c r="E5">
        <v>2</v>
      </c>
      <c r="F5" s="2" t="s">
        <v>8</v>
      </c>
      <c r="G5" s="2" t="str">
        <f t="shared" si="0"/>
        <v>Derrota</v>
      </c>
    </row>
    <row r="6" spans="1:7" x14ac:dyDescent="0.25">
      <c r="A6" s="1">
        <v>45686</v>
      </c>
      <c r="B6" s="2" t="s">
        <v>13</v>
      </c>
      <c r="C6" s="2" t="s">
        <v>7</v>
      </c>
      <c r="D6">
        <v>3</v>
      </c>
      <c r="E6">
        <v>1</v>
      </c>
      <c r="F6" s="2" t="s">
        <v>8</v>
      </c>
      <c r="G6" s="2" t="str">
        <f t="shared" si="0"/>
        <v>Vitória</v>
      </c>
    </row>
    <row r="7" spans="1:7" x14ac:dyDescent="0.25">
      <c r="A7" s="1">
        <v>45690</v>
      </c>
      <c r="B7" s="2" t="s">
        <v>14</v>
      </c>
      <c r="C7" s="2" t="s">
        <v>10</v>
      </c>
      <c r="D7">
        <v>0</v>
      </c>
      <c r="E7">
        <v>0</v>
      </c>
      <c r="F7" s="2" t="s">
        <v>8</v>
      </c>
      <c r="G7" s="2" t="str">
        <f t="shared" si="0"/>
        <v>Empate</v>
      </c>
    </row>
    <row r="8" spans="1:7" x14ac:dyDescent="0.25">
      <c r="A8" s="1">
        <v>45693</v>
      </c>
      <c r="B8" s="2" t="s">
        <v>15</v>
      </c>
      <c r="C8" s="2" t="s">
        <v>7</v>
      </c>
      <c r="D8">
        <v>2</v>
      </c>
      <c r="E8">
        <v>0</v>
      </c>
      <c r="F8" s="2" t="s">
        <v>8</v>
      </c>
      <c r="G8" s="2" t="str">
        <f t="shared" si="0"/>
        <v>Vitória</v>
      </c>
    </row>
    <row r="9" spans="1:7" x14ac:dyDescent="0.25">
      <c r="A9" s="1">
        <v>45697</v>
      </c>
      <c r="B9" s="2" t="s">
        <v>16</v>
      </c>
      <c r="C9" s="2" t="s">
        <v>10</v>
      </c>
      <c r="D9">
        <v>1</v>
      </c>
      <c r="E9">
        <v>1</v>
      </c>
      <c r="F9" s="2" t="s">
        <v>8</v>
      </c>
      <c r="G9" s="2" t="str">
        <f t="shared" si="0"/>
        <v>Empate</v>
      </c>
    </row>
    <row r="10" spans="1:7" x14ac:dyDescent="0.25">
      <c r="A10" s="1">
        <v>45703</v>
      </c>
      <c r="B10" s="2" t="s">
        <v>17</v>
      </c>
      <c r="C10" s="2" t="s">
        <v>10</v>
      </c>
      <c r="D10">
        <v>2</v>
      </c>
      <c r="E10">
        <v>2</v>
      </c>
      <c r="F10" s="2" t="s">
        <v>8</v>
      </c>
      <c r="G10" s="2" t="str">
        <f t="shared" si="0"/>
        <v>Empate</v>
      </c>
    </row>
    <row r="11" spans="1:7" x14ac:dyDescent="0.25">
      <c r="A11" s="1">
        <v>45707</v>
      </c>
      <c r="B11" s="2" t="s">
        <v>18</v>
      </c>
      <c r="C11" s="2" t="s">
        <v>7</v>
      </c>
      <c r="D11">
        <v>1</v>
      </c>
      <c r="E11">
        <v>0</v>
      </c>
      <c r="F11" s="2" t="s">
        <v>8</v>
      </c>
      <c r="G11" s="2" t="str">
        <f t="shared" si="0"/>
        <v>Vitória</v>
      </c>
    </row>
    <row r="12" spans="1:7" x14ac:dyDescent="0.25">
      <c r="A12" s="1">
        <v>45711</v>
      </c>
      <c r="B12" s="2" t="s">
        <v>6</v>
      </c>
      <c r="C12" s="2" t="s">
        <v>7</v>
      </c>
      <c r="D12">
        <v>2</v>
      </c>
      <c r="E12">
        <v>2</v>
      </c>
      <c r="F12" s="2" t="s">
        <v>8</v>
      </c>
      <c r="G12" s="2" t="str">
        <f t="shared" si="0"/>
        <v>Empate</v>
      </c>
    </row>
    <row r="13" spans="1:7" x14ac:dyDescent="0.25">
      <c r="A13" s="1">
        <v>45714</v>
      </c>
      <c r="B13" s="2" t="s">
        <v>19</v>
      </c>
      <c r="C13" s="2" t="s">
        <v>10</v>
      </c>
      <c r="D13">
        <v>1</v>
      </c>
      <c r="E13">
        <v>0</v>
      </c>
      <c r="F13" s="2" t="s">
        <v>8</v>
      </c>
      <c r="G13" s="2" t="str">
        <f t="shared" si="0"/>
        <v>Vitória</v>
      </c>
    </row>
    <row r="14" spans="1:7" x14ac:dyDescent="0.25">
      <c r="A14" s="1">
        <v>45718</v>
      </c>
      <c r="B14" s="2" t="s">
        <v>20</v>
      </c>
      <c r="C14" s="2" t="s">
        <v>7</v>
      </c>
      <c r="D14">
        <v>2</v>
      </c>
      <c r="E14">
        <v>0</v>
      </c>
      <c r="F14" s="2" t="s">
        <v>8</v>
      </c>
      <c r="G14" s="2" t="str">
        <f t="shared" si="0"/>
        <v>Vitória</v>
      </c>
    </row>
    <row r="15" spans="1:7" x14ac:dyDescent="0.25">
      <c r="A15" s="1">
        <v>45725</v>
      </c>
      <c r="B15" s="2" t="s">
        <v>21</v>
      </c>
      <c r="C15" s="2" t="s">
        <v>7</v>
      </c>
      <c r="D15">
        <v>2</v>
      </c>
      <c r="E15">
        <v>1</v>
      </c>
      <c r="F15" s="2" t="s">
        <v>8</v>
      </c>
      <c r="G15" s="2" t="str">
        <f t="shared" si="0"/>
        <v>Vitória</v>
      </c>
    </row>
    <row r="16" spans="1:7" x14ac:dyDescent="0.25">
      <c r="A16" s="1">
        <v>45732</v>
      </c>
      <c r="B16" s="2" t="s">
        <v>22</v>
      </c>
      <c r="C16" s="2" t="s">
        <v>10</v>
      </c>
      <c r="D16">
        <v>1</v>
      </c>
      <c r="E16">
        <v>0</v>
      </c>
      <c r="F16" s="2" t="s">
        <v>8</v>
      </c>
      <c r="G16" s="2" t="str">
        <f t="shared" si="0"/>
        <v>Vitória</v>
      </c>
    </row>
    <row r="17" spans="1:7" x14ac:dyDescent="0.25">
      <c r="A17" s="1">
        <v>45743</v>
      </c>
      <c r="B17" s="2" t="s">
        <v>22</v>
      </c>
      <c r="C17" s="2" t="s">
        <v>7</v>
      </c>
      <c r="D17">
        <v>0</v>
      </c>
      <c r="E17">
        <v>0</v>
      </c>
      <c r="F17" s="2" t="s">
        <v>8</v>
      </c>
      <c r="G17" s="2" t="str">
        <f t="shared" si="0"/>
        <v>Empate</v>
      </c>
    </row>
    <row r="18" spans="1:7" x14ac:dyDescent="0.25">
      <c r="A18" s="1">
        <v>45777</v>
      </c>
      <c r="B18" s="2" t="s">
        <v>13</v>
      </c>
      <c r="C18" s="2" t="s">
        <v>10</v>
      </c>
      <c r="D18">
        <v>1</v>
      </c>
      <c r="E18">
        <v>0</v>
      </c>
      <c r="F18" s="2" t="s">
        <v>23</v>
      </c>
      <c r="G18" s="2" t="str">
        <f t="shared" si="0"/>
        <v>Vitória</v>
      </c>
    </row>
    <row r="19" spans="1:7" x14ac:dyDescent="0.25">
      <c r="A19" s="1">
        <v>45798</v>
      </c>
      <c r="B19" s="2" t="s">
        <v>13</v>
      </c>
      <c r="C19" s="2" t="s">
        <v>7</v>
      </c>
      <c r="D19">
        <v>1</v>
      </c>
      <c r="E19">
        <v>0</v>
      </c>
      <c r="F19" s="2" t="s">
        <v>23</v>
      </c>
      <c r="G19" s="2" t="str">
        <f t="shared" si="0"/>
        <v>Vitória</v>
      </c>
    </row>
    <row r="20" spans="1:7" x14ac:dyDescent="0.25">
      <c r="A20" s="1">
        <v>45868</v>
      </c>
      <c r="B20" s="2" t="s">
        <v>22</v>
      </c>
      <c r="C20" s="2" t="s">
        <v>7</v>
      </c>
      <c r="D20">
        <v>1</v>
      </c>
      <c r="E20">
        <v>0</v>
      </c>
      <c r="F20" s="2" t="s">
        <v>23</v>
      </c>
      <c r="G20" s="2" t="str">
        <f t="shared" si="0"/>
        <v>Vitória</v>
      </c>
    </row>
    <row r="21" spans="1:7" x14ac:dyDescent="0.25">
      <c r="A21" s="1">
        <v>45875</v>
      </c>
      <c r="B21" s="2" t="s">
        <v>22</v>
      </c>
      <c r="C21" s="2" t="s">
        <v>10</v>
      </c>
      <c r="D21">
        <v>2</v>
      </c>
      <c r="E21">
        <v>0</v>
      </c>
      <c r="F21" s="2" t="s">
        <v>23</v>
      </c>
      <c r="G21" s="2" t="str">
        <f t="shared" si="0"/>
        <v>Vitória</v>
      </c>
    </row>
    <row r="22" spans="1:7" x14ac:dyDescent="0.25">
      <c r="A22" s="1">
        <v>45896</v>
      </c>
      <c r="B22" s="2" t="s">
        <v>24</v>
      </c>
      <c r="C22" s="2" t="s">
        <v>10</v>
      </c>
      <c r="D22">
        <v>1</v>
      </c>
      <c r="E22">
        <v>0</v>
      </c>
      <c r="F22" s="2" t="s">
        <v>23</v>
      </c>
      <c r="G22" s="2" t="str">
        <f t="shared" si="0"/>
        <v>Vitória</v>
      </c>
    </row>
    <row r="23" spans="1:7" x14ac:dyDescent="0.25">
      <c r="A23" s="1">
        <v>45910</v>
      </c>
      <c r="B23" s="2" t="s">
        <v>24</v>
      </c>
      <c r="C23" s="2" t="s">
        <v>7</v>
      </c>
      <c r="D23">
        <v>2</v>
      </c>
      <c r="E23">
        <v>0</v>
      </c>
      <c r="F23" s="2" t="s">
        <v>23</v>
      </c>
      <c r="G23" s="2" t="str">
        <f t="shared" si="0"/>
        <v>Vitória</v>
      </c>
    </row>
    <row r="24" spans="1:7" x14ac:dyDescent="0.25">
      <c r="A24" s="1">
        <v>46001</v>
      </c>
      <c r="B24" s="2" t="s">
        <v>25</v>
      </c>
      <c r="C24" s="2" t="s">
        <v>10</v>
      </c>
      <c r="D24">
        <v>1</v>
      </c>
      <c r="E24">
        <v>0</v>
      </c>
      <c r="F24" s="2" t="s">
        <v>23</v>
      </c>
      <c r="G24" s="2" t="str">
        <f t="shared" si="0"/>
        <v>Vitória</v>
      </c>
    </row>
    <row r="25" spans="1:7" x14ac:dyDescent="0.25">
      <c r="A25" s="1">
        <v>46005</v>
      </c>
      <c r="B25" s="2" t="s">
        <v>25</v>
      </c>
      <c r="C25" s="2" t="s">
        <v>7</v>
      </c>
      <c r="D25">
        <v>1</v>
      </c>
      <c r="E25">
        <v>2</v>
      </c>
      <c r="F25" s="2" t="s">
        <v>23</v>
      </c>
      <c r="G25" s="2" t="str">
        <f t="shared" si="0"/>
        <v>Derrota</v>
      </c>
    </row>
    <row r="26" spans="1:7" x14ac:dyDescent="0.25">
      <c r="A26" s="1">
        <v>46008</v>
      </c>
      <c r="B26" s="2" t="s">
        <v>26</v>
      </c>
      <c r="C26" s="2" t="s">
        <v>7</v>
      </c>
      <c r="D26">
        <v>0</v>
      </c>
      <c r="E26">
        <v>0</v>
      </c>
      <c r="F26" s="2" t="s">
        <v>23</v>
      </c>
      <c r="G26" s="2" t="str">
        <f t="shared" si="0"/>
        <v>Empate</v>
      </c>
    </row>
    <row r="27" spans="1:7" x14ac:dyDescent="0.25">
      <c r="A27" s="1">
        <v>46012</v>
      </c>
      <c r="B27" s="2" t="s">
        <v>26</v>
      </c>
      <c r="C27" s="2" t="s">
        <v>10</v>
      </c>
      <c r="D27">
        <v>2</v>
      </c>
      <c r="E27">
        <v>1</v>
      </c>
      <c r="F27" s="2" t="s">
        <v>23</v>
      </c>
      <c r="G27" s="2" t="str">
        <f t="shared" si="0"/>
        <v>Vitória</v>
      </c>
    </row>
    <row r="28" spans="1:7" x14ac:dyDescent="0.25">
      <c r="A28" s="1">
        <v>45760</v>
      </c>
      <c r="B28" s="2" t="s">
        <v>27</v>
      </c>
      <c r="C28" s="2" t="s">
        <v>7</v>
      </c>
      <c r="D28">
        <v>2</v>
      </c>
      <c r="E28">
        <v>1</v>
      </c>
      <c r="F28" s="2" t="s">
        <v>28</v>
      </c>
      <c r="G28" s="2" t="str">
        <f t="shared" si="0"/>
        <v>Vitória</v>
      </c>
    </row>
    <row r="29" spans="1:7" x14ac:dyDescent="0.25">
      <c r="A29" s="1">
        <v>45763</v>
      </c>
      <c r="B29" s="2" t="s">
        <v>29</v>
      </c>
      <c r="C29" s="2" t="s">
        <v>10</v>
      </c>
      <c r="D29">
        <v>1</v>
      </c>
      <c r="E29">
        <v>1</v>
      </c>
      <c r="F29" s="2" t="s">
        <v>28</v>
      </c>
      <c r="G29" s="2" t="str">
        <f t="shared" si="0"/>
        <v>Empate</v>
      </c>
    </row>
    <row r="30" spans="1:7" x14ac:dyDescent="0.25">
      <c r="A30" s="1">
        <v>45767</v>
      </c>
      <c r="B30" s="2" t="s">
        <v>30</v>
      </c>
      <c r="C30" s="2" t="s">
        <v>7</v>
      </c>
      <c r="D30">
        <v>1</v>
      </c>
      <c r="E30">
        <v>0</v>
      </c>
      <c r="F30" s="2" t="s">
        <v>28</v>
      </c>
      <c r="G30" s="2" t="str">
        <f t="shared" si="0"/>
        <v>Vitória</v>
      </c>
    </row>
    <row r="31" spans="1:7" x14ac:dyDescent="0.25">
      <c r="A31" s="1">
        <v>45774</v>
      </c>
      <c r="B31" s="2" t="s">
        <v>31</v>
      </c>
      <c r="C31" s="2" t="s">
        <v>10</v>
      </c>
      <c r="D31">
        <v>2</v>
      </c>
      <c r="E31">
        <v>0</v>
      </c>
      <c r="F31" s="2" t="s">
        <v>28</v>
      </c>
      <c r="G31" s="2" t="str">
        <f t="shared" si="0"/>
        <v>Vitória</v>
      </c>
    </row>
    <row r="32" spans="1:7" x14ac:dyDescent="0.25">
      <c r="A32" s="1">
        <v>45781</v>
      </c>
      <c r="B32" s="2" t="s">
        <v>32</v>
      </c>
      <c r="C32" s="2" t="s">
        <v>7</v>
      </c>
      <c r="D32">
        <v>0</v>
      </c>
      <c r="E32">
        <v>0</v>
      </c>
      <c r="F32" s="2" t="s">
        <v>28</v>
      </c>
      <c r="G32" s="2" t="str">
        <f t="shared" si="0"/>
        <v>Empate</v>
      </c>
    </row>
    <row r="33" spans="1:7" x14ac:dyDescent="0.25">
      <c r="A33" s="1">
        <v>45788</v>
      </c>
      <c r="B33" s="2" t="s">
        <v>25</v>
      </c>
      <c r="C33" s="2" t="s">
        <v>10</v>
      </c>
      <c r="D33">
        <v>1</v>
      </c>
      <c r="E33">
        <v>2</v>
      </c>
      <c r="F33" s="2" t="s">
        <v>28</v>
      </c>
      <c r="G33" s="2" t="str">
        <f t="shared" si="0"/>
        <v>Derrota</v>
      </c>
    </row>
    <row r="34" spans="1:7" x14ac:dyDescent="0.25">
      <c r="A34" s="1">
        <v>45795</v>
      </c>
      <c r="B34" s="2" t="s">
        <v>12</v>
      </c>
      <c r="C34" s="2" t="s">
        <v>7</v>
      </c>
      <c r="D34">
        <v>1</v>
      </c>
      <c r="E34">
        <v>1</v>
      </c>
      <c r="F34" s="2" t="s">
        <v>28</v>
      </c>
      <c r="G34" s="2" t="str">
        <f t="shared" ref="G34:G65" si="1">IF(D34&gt;E34, "Vitória", IF(D34&lt;E34, "Derrota", "Empate"))</f>
        <v>Empate</v>
      </c>
    </row>
    <row r="35" spans="1:7" x14ac:dyDescent="0.25">
      <c r="A35" s="1">
        <v>45802</v>
      </c>
      <c r="B35" s="2" t="s">
        <v>33</v>
      </c>
      <c r="C35" s="2" t="s">
        <v>10</v>
      </c>
      <c r="D35">
        <v>2</v>
      </c>
      <c r="E35">
        <v>1</v>
      </c>
      <c r="F35" s="2" t="s">
        <v>28</v>
      </c>
      <c r="G35" s="2" t="str">
        <f t="shared" si="1"/>
        <v>Vitória</v>
      </c>
    </row>
    <row r="36" spans="1:7" x14ac:dyDescent="0.25">
      <c r="A36" s="1">
        <v>45809</v>
      </c>
      <c r="B36" s="2" t="s">
        <v>34</v>
      </c>
      <c r="C36" s="2" t="s">
        <v>7</v>
      </c>
      <c r="D36">
        <v>3</v>
      </c>
      <c r="E36">
        <v>1</v>
      </c>
      <c r="F36" s="2" t="s">
        <v>28</v>
      </c>
      <c r="G36" s="2" t="str">
        <f t="shared" si="1"/>
        <v>Vitória</v>
      </c>
    </row>
    <row r="37" spans="1:7" x14ac:dyDescent="0.25">
      <c r="A37" s="1">
        <v>45816</v>
      </c>
      <c r="B37" s="2" t="s">
        <v>26</v>
      </c>
      <c r="C37" s="2" t="s">
        <v>10</v>
      </c>
      <c r="D37">
        <v>0</v>
      </c>
      <c r="E37">
        <v>0</v>
      </c>
      <c r="F37" s="2" t="s">
        <v>28</v>
      </c>
      <c r="G37" s="2" t="str">
        <f t="shared" si="1"/>
        <v>Empate</v>
      </c>
    </row>
    <row r="38" spans="1:7" x14ac:dyDescent="0.25">
      <c r="A38" s="1">
        <v>45820</v>
      </c>
      <c r="B38" s="2" t="s">
        <v>35</v>
      </c>
      <c r="C38" s="2" t="s">
        <v>7</v>
      </c>
      <c r="D38">
        <v>2</v>
      </c>
      <c r="E38">
        <v>0</v>
      </c>
      <c r="F38" s="2" t="s">
        <v>28</v>
      </c>
      <c r="G38" s="2" t="str">
        <f t="shared" si="1"/>
        <v>Vitória</v>
      </c>
    </row>
    <row r="39" spans="1:7" x14ac:dyDescent="0.25">
      <c r="A39" s="1">
        <v>45823</v>
      </c>
      <c r="B39" s="2" t="s">
        <v>22</v>
      </c>
      <c r="C39" s="2" t="s">
        <v>10</v>
      </c>
      <c r="D39">
        <v>1</v>
      </c>
      <c r="E39">
        <v>1</v>
      </c>
      <c r="F39" s="2" t="s">
        <v>28</v>
      </c>
      <c r="G39" s="2" t="str">
        <f t="shared" si="1"/>
        <v>Empate</v>
      </c>
    </row>
    <row r="40" spans="1:7" x14ac:dyDescent="0.25">
      <c r="A40" s="1">
        <v>45830</v>
      </c>
      <c r="B40" s="2" t="s">
        <v>24</v>
      </c>
      <c r="C40" s="2" t="s">
        <v>7</v>
      </c>
      <c r="D40">
        <v>1</v>
      </c>
      <c r="E40">
        <v>0</v>
      </c>
      <c r="F40" s="2" t="s">
        <v>28</v>
      </c>
      <c r="G40" s="2" t="str">
        <f t="shared" si="1"/>
        <v>Vitória</v>
      </c>
    </row>
    <row r="41" spans="1:7" x14ac:dyDescent="0.25">
      <c r="A41" s="1">
        <v>45833</v>
      </c>
      <c r="B41" s="2" t="s">
        <v>36</v>
      </c>
      <c r="C41" s="2" t="s">
        <v>10</v>
      </c>
      <c r="D41">
        <v>2</v>
      </c>
      <c r="E41">
        <v>0</v>
      </c>
      <c r="F41" s="2" t="s">
        <v>28</v>
      </c>
      <c r="G41" s="2" t="str">
        <f t="shared" si="1"/>
        <v>Vitória</v>
      </c>
    </row>
    <row r="42" spans="1:7" x14ac:dyDescent="0.25">
      <c r="A42" s="1">
        <v>45837</v>
      </c>
      <c r="B42" s="2" t="s">
        <v>37</v>
      </c>
      <c r="C42" s="2" t="s">
        <v>7</v>
      </c>
      <c r="D42">
        <v>2</v>
      </c>
      <c r="E42">
        <v>1</v>
      </c>
      <c r="F42" s="2" t="s">
        <v>28</v>
      </c>
      <c r="G42" s="2" t="str">
        <f t="shared" si="1"/>
        <v>Vitória</v>
      </c>
    </row>
    <row r="43" spans="1:7" x14ac:dyDescent="0.25">
      <c r="A43" s="1">
        <v>45844</v>
      </c>
      <c r="B43" s="2" t="s">
        <v>38</v>
      </c>
      <c r="C43" s="2" t="s">
        <v>10</v>
      </c>
      <c r="D43">
        <v>1</v>
      </c>
      <c r="E43">
        <v>2</v>
      </c>
      <c r="F43" s="2" t="s">
        <v>28</v>
      </c>
      <c r="G43" s="2" t="str">
        <f t="shared" si="1"/>
        <v>Derrota</v>
      </c>
    </row>
    <row r="44" spans="1:7" x14ac:dyDescent="0.25">
      <c r="A44" s="1">
        <v>45851</v>
      </c>
      <c r="B44" s="2" t="s">
        <v>16</v>
      </c>
      <c r="C44" s="2" t="s">
        <v>7</v>
      </c>
      <c r="D44">
        <v>1</v>
      </c>
      <c r="E44">
        <v>0</v>
      </c>
      <c r="F44" s="2" t="s">
        <v>28</v>
      </c>
      <c r="G44" s="2" t="str">
        <f t="shared" si="1"/>
        <v>Vitória</v>
      </c>
    </row>
    <row r="45" spans="1:7" x14ac:dyDescent="0.25">
      <c r="A45" s="1">
        <v>45858</v>
      </c>
      <c r="B45" s="2" t="s">
        <v>39</v>
      </c>
      <c r="C45" s="2" t="s">
        <v>10</v>
      </c>
      <c r="D45">
        <v>2</v>
      </c>
      <c r="E45">
        <v>0</v>
      </c>
      <c r="F45" s="2" t="s">
        <v>28</v>
      </c>
      <c r="G45" s="2" t="str">
        <f t="shared" si="1"/>
        <v>Vitória</v>
      </c>
    </row>
    <row r="46" spans="1:7" x14ac:dyDescent="0.25">
      <c r="A46" s="1">
        <v>45865</v>
      </c>
      <c r="B46" s="2" t="s">
        <v>21</v>
      </c>
      <c r="C46" s="2" t="s">
        <v>7</v>
      </c>
      <c r="D46">
        <v>3</v>
      </c>
      <c r="E46">
        <v>0</v>
      </c>
      <c r="F46" s="2" t="s">
        <v>28</v>
      </c>
      <c r="G46" s="2" t="str">
        <f t="shared" si="1"/>
        <v>Vitória</v>
      </c>
    </row>
    <row r="47" spans="1:7" x14ac:dyDescent="0.25">
      <c r="A47" s="1">
        <v>45872</v>
      </c>
      <c r="B47" s="2" t="s">
        <v>27</v>
      </c>
      <c r="C47" s="2" t="s">
        <v>10</v>
      </c>
      <c r="D47">
        <v>1</v>
      </c>
      <c r="E47">
        <v>1</v>
      </c>
      <c r="F47" s="2" t="s">
        <v>28</v>
      </c>
      <c r="G47" s="2" t="str">
        <f t="shared" si="1"/>
        <v>Empate</v>
      </c>
    </row>
    <row r="48" spans="1:7" x14ac:dyDescent="0.25">
      <c r="A48" s="1">
        <v>45879</v>
      </c>
      <c r="B48" s="2" t="s">
        <v>29</v>
      </c>
      <c r="C48" s="2" t="s">
        <v>7</v>
      </c>
      <c r="D48">
        <v>2</v>
      </c>
      <c r="E48">
        <v>0</v>
      </c>
      <c r="F48" s="2" t="s">
        <v>28</v>
      </c>
      <c r="G48" s="2" t="str">
        <f t="shared" si="1"/>
        <v>Vitória</v>
      </c>
    </row>
    <row r="49" spans="1:7" x14ac:dyDescent="0.25">
      <c r="A49" s="1">
        <v>45886</v>
      </c>
      <c r="B49" s="2" t="s">
        <v>30</v>
      </c>
      <c r="C49" s="2" t="s">
        <v>10</v>
      </c>
      <c r="D49">
        <v>1</v>
      </c>
      <c r="E49">
        <v>2</v>
      </c>
      <c r="F49" s="2" t="s">
        <v>28</v>
      </c>
      <c r="G49" s="2" t="str">
        <f t="shared" si="1"/>
        <v>Derrota</v>
      </c>
    </row>
    <row r="50" spans="1:7" x14ac:dyDescent="0.25">
      <c r="A50" s="1">
        <v>45893</v>
      </c>
      <c r="B50" s="2" t="s">
        <v>31</v>
      </c>
      <c r="C50" s="2" t="s">
        <v>7</v>
      </c>
      <c r="D50">
        <v>3</v>
      </c>
      <c r="E50">
        <v>0</v>
      </c>
      <c r="F50" s="2" t="s">
        <v>28</v>
      </c>
      <c r="G50" s="2" t="str">
        <f t="shared" si="1"/>
        <v>Vitória</v>
      </c>
    </row>
    <row r="51" spans="1:7" x14ac:dyDescent="0.25">
      <c r="A51" s="1">
        <v>45900</v>
      </c>
      <c r="B51" s="2" t="s">
        <v>32</v>
      </c>
      <c r="C51" s="2" t="s">
        <v>10</v>
      </c>
      <c r="D51">
        <v>0</v>
      </c>
      <c r="E51">
        <v>1</v>
      </c>
      <c r="F51" s="2" t="s">
        <v>28</v>
      </c>
      <c r="G51" s="2" t="str">
        <f t="shared" si="1"/>
        <v>Derrota</v>
      </c>
    </row>
    <row r="52" spans="1:7" x14ac:dyDescent="0.25">
      <c r="A52" s="1">
        <v>45914</v>
      </c>
      <c r="B52" s="2" t="s">
        <v>25</v>
      </c>
      <c r="C52" s="2" t="s">
        <v>7</v>
      </c>
      <c r="D52">
        <v>2</v>
      </c>
      <c r="E52">
        <v>1</v>
      </c>
      <c r="F52" s="2" t="s">
        <v>28</v>
      </c>
      <c r="G52" s="2" t="str">
        <f t="shared" si="1"/>
        <v>Vitória</v>
      </c>
    </row>
    <row r="53" spans="1:7" x14ac:dyDescent="0.25">
      <c r="A53" s="1">
        <v>45921</v>
      </c>
      <c r="B53" s="2" t="s">
        <v>12</v>
      </c>
      <c r="C53" s="2" t="s">
        <v>10</v>
      </c>
      <c r="D53">
        <v>1</v>
      </c>
      <c r="E53">
        <v>0</v>
      </c>
      <c r="F53" s="2" t="s">
        <v>28</v>
      </c>
      <c r="G53" s="2" t="str">
        <f t="shared" si="1"/>
        <v>Vitória</v>
      </c>
    </row>
    <row r="54" spans="1:7" x14ac:dyDescent="0.25">
      <c r="A54" s="1">
        <v>45928</v>
      </c>
      <c r="B54" s="2" t="s">
        <v>33</v>
      </c>
      <c r="C54" s="2" t="s">
        <v>7</v>
      </c>
      <c r="D54">
        <v>1</v>
      </c>
      <c r="E54">
        <v>1</v>
      </c>
      <c r="F54" s="2" t="s">
        <v>28</v>
      </c>
      <c r="G54" s="2" t="str">
        <f t="shared" si="1"/>
        <v>Empate</v>
      </c>
    </row>
    <row r="55" spans="1:7" x14ac:dyDescent="0.25">
      <c r="A55" s="1">
        <v>45935</v>
      </c>
      <c r="B55" s="2" t="s">
        <v>34</v>
      </c>
      <c r="C55" s="2" t="s">
        <v>10</v>
      </c>
      <c r="D55">
        <v>2</v>
      </c>
      <c r="E55">
        <v>2</v>
      </c>
      <c r="F55" s="2" t="s">
        <v>28</v>
      </c>
      <c r="G55" s="2" t="str">
        <f t="shared" si="1"/>
        <v>Empate</v>
      </c>
    </row>
    <row r="56" spans="1:7" x14ac:dyDescent="0.25">
      <c r="A56" s="1">
        <v>45942</v>
      </c>
      <c r="B56" s="2" t="s">
        <v>26</v>
      </c>
      <c r="C56" s="2" t="s">
        <v>7</v>
      </c>
      <c r="D56">
        <v>2</v>
      </c>
      <c r="E56">
        <v>0</v>
      </c>
      <c r="F56" s="2" t="s">
        <v>28</v>
      </c>
      <c r="G56" s="2" t="str">
        <f t="shared" si="1"/>
        <v>Vitória</v>
      </c>
    </row>
    <row r="57" spans="1:7" x14ac:dyDescent="0.25">
      <c r="A57" s="1">
        <v>45949</v>
      </c>
      <c r="B57" s="2" t="s">
        <v>35</v>
      </c>
      <c r="C57" s="2" t="s">
        <v>10</v>
      </c>
      <c r="D57">
        <v>1</v>
      </c>
      <c r="E57">
        <v>1</v>
      </c>
      <c r="F57" s="2" t="s">
        <v>28</v>
      </c>
      <c r="G57" s="2" t="str">
        <f t="shared" si="1"/>
        <v>Empate</v>
      </c>
    </row>
    <row r="58" spans="1:7" x14ac:dyDescent="0.25">
      <c r="A58" s="1">
        <v>45956</v>
      </c>
      <c r="B58" s="2" t="s">
        <v>22</v>
      </c>
      <c r="C58" s="2" t="s">
        <v>7</v>
      </c>
      <c r="D58">
        <v>1</v>
      </c>
      <c r="E58">
        <v>0</v>
      </c>
      <c r="F58" s="2" t="s">
        <v>28</v>
      </c>
      <c r="G58" s="2" t="str">
        <f t="shared" si="1"/>
        <v>Vitória</v>
      </c>
    </row>
    <row r="59" spans="1:7" x14ac:dyDescent="0.25">
      <c r="A59" s="1">
        <v>45963</v>
      </c>
      <c r="B59" s="2" t="s">
        <v>24</v>
      </c>
      <c r="C59" s="2" t="s">
        <v>10</v>
      </c>
      <c r="D59">
        <v>2</v>
      </c>
      <c r="E59">
        <v>1</v>
      </c>
      <c r="F59" s="2" t="s">
        <v>28</v>
      </c>
      <c r="G59" s="2" t="str">
        <f t="shared" si="1"/>
        <v>Vitória</v>
      </c>
    </row>
    <row r="60" spans="1:7" x14ac:dyDescent="0.25">
      <c r="A60" s="1">
        <v>45970</v>
      </c>
      <c r="B60" s="2" t="s">
        <v>36</v>
      </c>
      <c r="C60" s="2" t="s">
        <v>7</v>
      </c>
      <c r="D60">
        <v>3</v>
      </c>
      <c r="E60">
        <v>1</v>
      </c>
      <c r="F60" s="2" t="s">
        <v>28</v>
      </c>
      <c r="G60" s="2" t="str">
        <f t="shared" si="1"/>
        <v>Vitória</v>
      </c>
    </row>
    <row r="61" spans="1:7" x14ac:dyDescent="0.25">
      <c r="A61" s="1">
        <v>45973</v>
      </c>
      <c r="B61" s="2" t="s">
        <v>37</v>
      </c>
      <c r="C61" s="2" t="s">
        <v>10</v>
      </c>
      <c r="D61">
        <v>1</v>
      </c>
      <c r="E61">
        <v>0</v>
      </c>
      <c r="F61" s="2" t="s">
        <v>28</v>
      </c>
      <c r="G61" s="2" t="str">
        <f t="shared" si="1"/>
        <v>Vitória</v>
      </c>
    </row>
    <row r="62" spans="1:7" x14ac:dyDescent="0.25">
      <c r="A62" s="1">
        <v>45984</v>
      </c>
      <c r="B62" s="2" t="s">
        <v>38</v>
      </c>
      <c r="C62" s="2" t="s">
        <v>7</v>
      </c>
      <c r="D62">
        <v>2</v>
      </c>
      <c r="E62">
        <v>0</v>
      </c>
      <c r="F62" s="2" t="s">
        <v>28</v>
      </c>
      <c r="G62" s="2" t="str">
        <f t="shared" si="1"/>
        <v>Vitória</v>
      </c>
    </row>
    <row r="63" spans="1:7" x14ac:dyDescent="0.25">
      <c r="A63" s="1">
        <v>45991</v>
      </c>
      <c r="B63" s="2" t="s">
        <v>16</v>
      </c>
      <c r="C63" s="2" t="s">
        <v>10</v>
      </c>
      <c r="D63">
        <v>1</v>
      </c>
      <c r="E63">
        <v>1</v>
      </c>
      <c r="F63" s="2" t="s">
        <v>28</v>
      </c>
      <c r="G63" s="2" t="str">
        <f t="shared" si="1"/>
        <v>Empate</v>
      </c>
    </row>
    <row r="64" spans="1:7" x14ac:dyDescent="0.25">
      <c r="A64" s="1">
        <v>45994</v>
      </c>
      <c r="B64" s="2" t="s">
        <v>39</v>
      </c>
      <c r="C64" s="2" t="s">
        <v>7</v>
      </c>
      <c r="D64">
        <v>4</v>
      </c>
      <c r="E64">
        <v>0</v>
      </c>
      <c r="F64" s="2" t="s">
        <v>28</v>
      </c>
      <c r="G64" s="2" t="str">
        <f t="shared" si="1"/>
        <v>Vitória</v>
      </c>
    </row>
    <row r="65" spans="1:7" x14ac:dyDescent="0.25">
      <c r="A65" s="1">
        <v>45998</v>
      </c>
      <c r="B65" s="2" t="s">
        <v>21</v>
      </c>
      <c r="C65" s="2" t="s">
        <v>10</v>
      </c>
      <c r="D65">
        <v>2</v>
      </c>
      <c r="E65">
        <v>0</v>
      </c>
      <c r="F65" s="2" t="s">
        <v>28</v>
      </c>
      <c r="G65" s="2" t="str">
        <f t="shared" si="1"/>
        <v>Vitória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A178-9111-4312-A650-F69737336044}">
  <dimension ref="A3:B7"/>
  <sheetViews>
    <sheetView workbookViewId="0">
      <selection activeCell="C3" sqref="C3"/>
    </sheetView>
  </sheetViews>
  <sheetFormatPr defaultRowHeight="15" x14ac:dyDescent="0.25"/>
  <cols>
    <col min="1" max="1" width="18.42578125" bestFit="1" customWidth="1"/>
    <col min="2" max="2" width="23" bestFit="1" customWidth="1"/>
  </cols>
  <sheetData>
    <row r="3" spans="1:2" x14ac:dyDescent="0.25">
      <c r="A3" s="3" t="s">
        <v>41</v>
      </c>
      <c r="B3" t="s">
        <v>45</v>
      </c>
    </row>
    <row r="4" spans="1:2" x14ac:dyDescent="0.25">
      <c r="A4" s="4" t="s">
        <v>42</v>
      </c>
      <c r="B4" s="2">
        <v>6</v>
      </c>
    </row>
    <row r="5" spans="1:2" x14ac:dyDescent="0.25">
      <c r="A5" s="4" t="s">
        <v>43</v>
      </c>
      <c r="B5" s="2">
        <v>17</v>
      </c>
    </row>
    <row r="6" spans="1:2" x14ac:dyDescent="0.25">
      <c r="A6" s="4" t="s">
        <v>37</v>
      </c>
      <c r="B6" s="2">
        <v>41</v>
      </c>
    </row>
    <row r="7" spans="1:2" x14ac:dyDescent="0.25">
      <c r="A7" s="4" t="s">
        <v>44</v>
      </c>
      <c r="B7" s="2">
        <v>64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79A6-0D77-4F94-AF1D-6B79BDE05859}">
  <dimension ref="A3:E7"/>
  <sheetViews>
    <sheetView workbookViewId="0">
      <selection activeCell="F1" sqref="F1"/>
    </sheetView>
  </sheetViews>
  <sheetFormatPr defaultRowHeight="15" x14ac:dyDescent="0.25"/>
  <cols>
    <col min="1" max="1" width="23" bestFit="1" customWidth="1"/>
    <col min="2" max="2" width="20.140625" bestFit="1" customWidth="1"/>
    <col min="3" max="3" width="7.85546875" bestFit="1" customWidth="1"/>
    <col min="4" max="4" width="6.85546875" bestFit="1" customWidth="1"/>
    <col min="5" max="5" width="10.7109375" bestFit="1" customWidth="1"/>
  </cols>
  <sheetData>
    <row r="3" spans="1:5" x14ac:dyDescent="0.25">
      <c r="A3" s="3" t="s">
        <v>45</v>
      </c>
      <c r="B3" s="3" t="s">
        <v>46</v>
      </c>
    </row>
    <row r="4" spans="1:5" x14ac:dyDescent="0.25">
      <c r="A4" s="3" t="s">
        <v>41</v>
      </c>
      <c r="B4" t="s">
        <v>42</v>
      </c>
      <c r="C4" t="s">
        <v>43</v>
      </c>
      <c r="D4" t="s">
        <v>37</v>
      </c>
      <c r="E4" t="s">
        <v>44</v>
      </c>
    </row>
    <row r="5" spans="1:5" x14ac:dyDescent="0.25">
      <c r="A5" s="4" t="s">
        <v>7</v>
      </c>
      <c r="B5" s="2">
        <v>1</v>
      </c>
      <c r="C5" s="2">
        <v>6</v>
      </c>
      <c r="D5" s="2">
        <v>26</v>
      </c>
      <c r="E5" s="2">
        <v>33</v>
      </c>
    </row>
    <row r="6" spans="1:5" x14ac:dyDescent="0.25">
      <c r="A6" s="4" t="s">
        <v>10</v>
      </c>
      <c r="B6" s="2">
        <v>5</v>
      </c>
      <c r="C6" s="2">
        <v>11</v>
      </c>
      <c r="D6" s="2">
        <v>15</v>
      </c>
      <c r="E6" s="2">
        <v>31</v>
      </c>
    </row>
    <row r="7" spans="1:5" x14ac:dyDescent="0.25">
      <c r="A7" s="4" t="s">
        <v>44</v>
      </c>
      <c r="B7" s="2">
        <v>6</v>
      </c>
      <c r="C7" s="2">
        <v>17</v>
      </c>
      <c r="D7" s="2">
        <v>41</v>
      </c>
      <c r="E7" s="2">
        <v>64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69D8-E68F-4946-9162-FF128C135E8B}">
  <dimension ref="A1:M2"/>
  <sheetViews>
    <sheetView showGridLines="0" tabSelected="1" workbookViewId="0">
      <selection activeCell="S20" sqref="S20"/>
    </sheetView>
  </sheetViews>
  <sheetFormatPr defaultRowHeight="15" x14ac:dyDescent="0.25"/>
  <cols>
    <col min="1" max="16384" width="9.140625" style="5"/>
  </cols>
  <sheetData>
    <row r="1" spans="1:13" x14ac:dyDescent="0.25">
      <c r="A1" s="7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</sheetData>
  <mergeCells count="1">
    <mergeCell ref="A1:M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DD5247-FBDD-47A4-8A6B-FEB27EF7C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dados_corinthians_2025</vt:lpstr>
      <vt:lpstr>APROVEITAMENTO_ANO</vt:lpstr>
      <vt:lpstr>DESEMPENHO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Reis</dc:creator>
  <cp:lastModifiedBy>Felipe Reis</cp:lastModifiedBy>
  <dcterms:created xsi:type="dcterms:W3CDTF">2026-03-25T15:45:23Z</dcterms:created>
  <dcterms:modified xsi:type="dcterms:W3CDTF">2026-03-25T16:16:29Z</dcterms:modified>
</cp:coreProperties>
</file>